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hodaeche/Desktop/DS1/Assignments/visualization/02_activities/assignments/Assignment_3/"/>
    </mc:Choice>
  </mc:AlternateContent>
  <xr:revisionPtr revIDLastSave="0" documentId="8_{AC392530-EB24-694C-9918-D31262097811}" xr6:coauthVersionLast="47" xr6:coauthVersionMax="47" xr10:uidLastSave="{00000000-0000-0000-0000-000000000000}"/>
  <bookViews>
    <workbookView xWindow="0" yWindow="500" windowWidth="25780" windowHeight="13880" xr2:uid="{00000000-000D-0000-FFFF-FFFF00000000}"/>
  </bookViews>
  <sheets>
    <sheet name="english" sheetId="1" r:id="rId1"/>
    <sheet name="french" sheetId="2" r:id="rId2"/>
  </sheets>
  <definedNames>
    <definedName name="HTML_CodePage" hidden="1">1252</definedName>
    <definedName name="HTML_Control" hidden="1">{"'french'!$A$2:$E$6"}</definedName>
    <definedName name="HTML_Description" hidden="1">""</definedName>
    <definedName name="HTML_Email" hidden="1">""</definedName>
    <definedName name="HTML_Header" hidden="1">"english"</definedName>
    <definedName name="HTML_LastUpdate" hidden="1">"9/28/01"</definedName>
    <definedName name="HTML_LineAfter" hidden="1">FALSE</definedName>
    <definedName name="HTML_LineBefore" hidden="1">FALSE</definedName>
    <definedName name="HTML_Name" hidden="1">"Gavin Lawson"</definedName>
    <definedName name="HTML_OBDlg2" hidden="1">TRUE</definedName>
    <definedName name="HTML_OBDlg4" hidden="1">TRUE</definedName>
    <definedName name="HTML_OS" hidden="1">0</definedName>
    <definedName name="HTML_PathFile" hidden="1">"M:\STATS\Omafra\french\stats\livestock\1eggs.htm"</definedName>
    <definedName name="HTML_Title" hidden="1">"eggs"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9" i="2" l="1"/>
  <c r="D29" i="2"/>
  <c r="C29" i="2"/>
  <c r="B29" i="2"/>
  <c r="E28" i="2"/>
  <c r="D28" i="2"/>
  <c r="C28" i="2"/>
  <c r="B28" i="2"/>
  <c r="E27" i="2" l="1"/>
  <c r="D27" i="2"/>
  <c r="C27" i="2"/>
  <c r="B27" i="2"/>
  <c r="E26" i="2"/>
  <c r="D26" i="2"/>
  <c r="C26" i="2"/>
  <c r="B26" i="2"/>
  <c r="B25" i="2"/>
  <c r="C25" i="2"/>
  <c r="D25" i="2"/>
  <c r="E25" i="2"/>
  <c r="B4" i="2" l="1"/>
  <c r="C4" i="2"/>
  <c r="D4" i="2"/>
  <c r="E4" i="2"/>
  <c r="B5" i="2"/>
  <c r="C5" i="2"/>
  <c r="D5" i="2"/>
  <c r="E5" i="2"/>
  <c r="B6" i="2"/>
  <c r="C6" i="2"/>
  <c r="D6" i="2"/>
  <c r="E6" i="2"/>
  <c r="B7" i="2"/>
  <c r="C7" i="2"/>
  <c r="D7" i="2"/>
  <c r="E7" i="2"/>
  <c r="B8" i="2"/>
  <c r="C8" i="2"/>
  <c r="D8" i="2"/>
  <c r="E8" i="2"/>
  <c r="B9" i="2"/>
  <c r="C9" i="2"/>
  <c r="D9" i="2"/>
  <c r="E9" i="2"/>
  <c r="B10" i="2"/>
  <c r="C10" i="2"/>
  <c r="D10" i="2"/>
  <c r="E10" i="2"/>
  <c r="B11" i="2"/>
  <c r="C11" i="2"/>
  <c r="D11" i="2"/>
  <c r="E11" i="2"/>
  <c r="B12" i="2"/>
  <c r="C12" i="2"/>
  <c r="D12" i="2"/>
  <c r="E12" i="2"/>
  <c r="B13" i="2"/>
  <c r="C13" i="2"/>
  <c r="D13" i="2"/>
  <c r="E13" i="2"/>
  <c r="B14" i="2"/>
  <c r="C14" i="2"/>
  <c r="D14" i="2"/>
  <c r="E14" i="2"/>
  <c r="B15" i="2"/>
  <c r="C15" i="2"/>
  <c r="D15" i="2"/>
  <c r="E15" i="2"/>
  <c r="B16" i="2"/>
  <c r="C16" i="2"/>
  <c r="D16" i="2"/>
  <c r="E16" i="2"/>
  <c r="B17" i="2"/>
  <c r="C17" i="2"/>
  <c r="D17" i="2"/>
  <c r="E17" i="2"/>
  <c r="B18" i="2"/>
  <c r="C18" i="2"/>
  <c r="D18" i="2"/>
  <c r="E18" i="2"/>
  <c r="B19" i="2"/>
  <c r="C19" i="2"/>
  <c r="D19" i="2"/>
  <c r="E19" i="2"/>
  <c r="B20" i="2"/>
  <c r="C20" i="2"/>
  <c r="D20" i="2"/>
  <c r="E20" i="2"/>
  <c r="B21" i="2"/>
  <c r="C21" i="2"/>
  <c r="D21" i="2"/>
  <c r="E21" i="2"/>
  <c r="B22" i="2"/>
  <c r="C22" i="2"/>
  <c r="D22" i="2"/>
  <c r="E22" i="2"/>
  <c r="B23" i="2"/>
  <c r="C23" i="2"/>
  <c r="D23" i="2"/>
  <c r="E23" i="2"/>
  <c r="B24" i="2"/>
  <c r="C24" i="2"/>
  <c r="D24" i="2"/>
  <c r="E24" i="2"/>
  <c r="C3" i="2"/>
  <c r="D3" i="2"/>
  <c r="E3" i="2"/>
  <c r="B3" i="2"/>
  <c r="A31" i="2"/>
</calcChain>
</file>

<file path=xl/sharedStrings.xml><?xml version="1.0" encoding="utf-8"?>
<sst xmlns="http://schemas.openxmlformats.org/spreadsheetml/2006/main" count="11" uniqueCount="11">
  <si>
    <t>Average Number of Layers ('000)</t>
  </si>
  <si>
    <t>Total Value ($'000)</t>
  </si>
  <si>
    <t>Nombre moyen de pondeuses ('000)</t>
  </si>
  <si>
    <t>Oeufs par 100 pondeuses (nombre)</t>
  </si>
  <si>
    <t>Production totale ('000 douz)</t>
  </si>
  <si>
    <t>Valeur totale ($'000)</t>
  </si>
  <si>
    <t>Total Production ('000 dozens)</t>
  </si>
  <si>
    <t>Source: Statistique Canada.  Tableau  32-10-0119-01</t>
  </si>
  <si>
    <t>Production des oeufs en Ontario (1998-2024)</t>
  </si>
  <si>
    <t>Year</t>
  </si>
  <si>
    <t>Eggs per 100 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</si>
</sst>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quotePrefix="1" applyFont="1" applyAlignment="1">
      <alignment horizontal="left"/>
    </xf>
    <xf numFmtId="0" fontId="3" fillId="0" borderId="0" xfId="0" quotePrefix="1" applyFont="1" applyAlignment="1">
      <alignment horizontal="center"/>
    </xf>
    <xf numFmtId="15" fontId="2" fillId="0" borderId="0" xfId="0" quotePrefix="1" applyNumberFormat="1" applyFont="1"/>
    <xf numFmtId="164" fontId="0" fillId="0" borderId="0" xfId="1" applyNumberFormat="1" applyFont="1"/>
    <xf numFmtId="3" fontId="2" fillId="0" borderId="0" xfId="0" quotePrefix="1" applyNumberFormat="1" applyFont="1" applyAlignment="1">
      <alignment horizontal="center"/>
    </xf>
    <xf numFmtId="0" fontId="3" fillId="0" borderId="0" xfId="0" applyFont="1"/>
    <xf numFmtId="15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0" u="none" strike="noStrike" baseline="0"/>
              <a:t>Ontario Egg Industry: Layers and Productivity (1998–2024)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english!$A$1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english!$A$2:$A$28</c:f>
              <c:numCache>
                <c:formatCode>General</c:formatCode>
                <c:ptCount val="27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</c:numCache>
            </c:numRef>
          </c:cat>
          <c:val>
            <c:numRef>
              <c:f>english!$A$2:$A$32</c:f>
              <c:numCache>
                <c:formatCode>General</c:formatCode>
                <c:ptCount val="31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4A-3A4F-B32A-A73EF7D4A32F}"/>
            </c:ext>
          </c:extLst>
        </c:ser>
        <c:ser>
          <c:idx val="1"/>
          <c:order val="1"/>
          <c:tx>
            <c:strRef>
              <c:f>english!$B$1</c:f>
              <c:strCache>
                <c:ptCount val="1"/>
                <c:pt idx="0">
                  <c:v>Average Number of Layers ('000)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english!$A$2:$A$28</c:f>
              <c:numCache>
                <c:formatCode>General</c:formatCode>
                <c:ptCount val="27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</c:numCache>
            </c:numRef>
          </c:cat>
          <c:val>
            <c:numRef>
              <c:f>english!$B$2:$B$32</c:f>
              <c:numCache>
                <c:formatCode>#,##0</c:formatCode>
                <c:ptCount val="31"/>
                <c:pt idx="0">
                  <c:v>8254</c:v>
                </c:pt>
                <c:pt idx="1">
                  <c:v>8806</c:v>
                </c:pt>
                <c:pt idx="2">
                  <c:v>8897</c:v>
                </c:pt>
                <c:pt idx="3">
                  <c:v>9096</c:v>
                </c:pt>
                <c:pt idx="4">
                  <c:v>9418</c:v>
                </c:pt>
                <c:pt idx="5">
                  <c:v>9475</c:v>
                </c:pt>
                <c:pt idx="6">
                  <c:v>9619</c:v>
                </c:pt>
                <c:pt idx="7">
                  <c:v>9754</c:v>
                </c:pt>
                <c:pt idx="8">
                  <c:v>9492</c:v>
                </c:pt>
                <c:pt idx="9">
                  <c:v>9415</c:v>
                </c:pt>
                <c:pt idx="10">
                  <c:v>9519</c:v>
                </c:pt>
                <c:pt idx="11">
                  <c:v>9715</c:v>
                </c:pt>
                <c:pt idx="12">
                  <c:v>9793</c:v>
                </c:pt>
                <c:pt idx="13">
                  <c:v>9824</c:v>
                </c:pt>
                <c:pt idx="14">
                  <c:v>9886</c:v>
                </c:pt>
                <c:pt idx="15">
                  <c:v>10040</c:v>
                </c:pt>
                <c:pt idx="16">
                  <c:v>10118</c:v>
                </c:pt>
                <c:pt idx="17">
                  <c:v>10487</c:v>
                </c:pt>
                <c:pt idx="18">
                  <c:v>11109</c:v>
                </c:pt>
                <c:pt idx="19">
                  <c:v>11534</c:v>
                </c:pt>
                <c:pt idx="20">
                  <c:v>11715</c:v>
                </c:pt>
                <c:pt idx="21">
                  <c:v>11999</c:v>
                </c:pt>
                <c:pt idx="22">
                  <c:v>12261</c:v>
                </c:pt>
                <c:pt idx="23">
                  <c:v>12531</c:v>
                </c:pt>
                <c:pt idx="24">
                  <c:v>12956</c:v>
                </c:pt>
                <c:pt idx="25">
                  <c:v>13177</c:v>
                </c:pt>
                <c:pt idx="26">
                  <c:v>13449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4A-3A4F-B32A-A73EF7D4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0160320"/>
        <c:axId val="1610173376"/>
      </c:lineChart>
      <c:lineChart>
        <c:grouping val="standard"/>
        <c:varyColors val="0"/>
        <c:ser>
          <c:idx val="2"/>
          <c:order val="2"/>
          <c:tx>
            <c:strRef>
              <c:f>english!$C$1</c:f>
              <c:strCache>
                <c:ptCount val="1"/>
                <c:pt idx="0">
                  <c:v>Eggs per 100 Layers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english!$C$2:$C$32</c:f>
              <c:numCache>
                <c:formatCode>#,##0</c:formatCode>
                <c:ptCount val="31"/>
                <c:pt idx="0">
                  <c:v>28356</c:v>
                </c:pt>
                <c:pt idx="1">
                  <c:v>27857</c:v>
                </c:pt>
                <c:pt idx="2">
                  <c:v>27968</c:v>
                </c:pt>
                <c:pt idx="3">
                  <c:v>28084</c:v>
                </c:pt>
                <c:pt idx="4">
                  <c:v>27596</c:v>
                </c:pt>
                <c:pt idx="5">
                  <c:v>27477</c:v>
                </c:pt>
                <c:pt idx="6">
                  <c:v>27268</c:v>
                </c:pt>
                <c:pt idx="7">
                  <c:v>28159</c:v>
                </c:pt>
                <c:pt idx="8">
                  <c:v>28646</c:v>
                </c:pt>
                <c:pt idx="9">
                  <c:v>28983</c:v>
                </c:pt>
                <c:pt idx="10">
                  <c:v>29485</c:v>
                </c:pt>
                <c:pt idx="11">
                  <c:v>28961</c:v>
                </c:pt>
                <c:pt idx="12">
                  <c:v>29321</c:v>
                </c:pt>
                <c:pt idx="13">
                  <c:v>29567</c:v>
                </c:pt>
                <c:pt idx="14">
                  <c:v>29979</c:v>
                </c:pt>
                <c:pt idx="15">
                  <c:v>30083</c:v>
                </c:pt>
                <c:pt idx="16">
                  <c:v>30218</c:v>
                </c:pt>
                <c:pt idx="17">
                  <c:v>30281</c:v>
                </c:pt>
                <c:pt idx="18">
                  <c:v>30345</c:v>
                </c:pt>
                <c:pt idx="19">
                  <c:v>30227</c:v>
                </c:pt>
                <c:pt idx="20">
                  <c:v>30260</c:v>
                </c:pt>
                <c:pt idx="21">
                  <c:v>30275</c:v>
                </c:pt>
                <c:pt idx="22">
                  <c:v>30368</c:v>
                </c:pt>
                <c:pt idx="23">
                  <c:v>30302</c:v>
                </c:pt>
                <c:pt idx="24">
                  <c:v>30184</c:v>
                </c:pt>
                <c:pt idx="25">
                  <c:v>30332</c:v>
                </c:pt>
                <c:pt idx="26">
                  <c:v>30223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4A-3A4F-B32A-A73EF7D4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2008960"/>
        <c:axId val="1432273296"/>
      </c:lineChart>
      <c:catAx>
        <c:axId val="161016032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173376"/>
        <c:crosses val="autoZero"/>
        <c:auto val="1"/>
        <c:lblAlgn val="ctr"/>
        <c:lblOffset val="100"/>
        <c:noMultiLvlLbl val="0"/>
      </c:catAx>
      <c:valAx>
        <c:axId val="161017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Number of Layers ('000)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160320"/>
        <c:crosses val="autoZero"/>
        <c:crossBetween val="between"/>
      </c:valAx>
      <c:valAx>
        <c:axId val="14322732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Eggs per 100 Layers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008960"/>
        <c:crosses val="max"/>
        <c:crossBetween val="between"/>
      </c:valAx>
      <c:catAx>
        <c:axId val="1432008960"/>
        <c:scaling>
          <c:orientation val="minMax"/>
        </c:scaling>
        <c:delete val="1"/>
        <c:axPos val="b"/>
        <c:majorTickMark val="out"/>
        <c:minorTickMark val="none"/>
        <c:tickLblPos val="nextTo"/>
        <c:crossAx val="143227329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 prst="angle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0" u="none" strike="noStrike" baseline="0"/>
              <a:t>Total Egg Production in Ontario (1998–2024)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english!$A$1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english!$A$2:$A$28</c:f>
              <c:numCache>
                <c:formatCode>General</c:formatCode>
                <c:ptCount val="27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</c:numCache>
            </c:numRef>
          </c:cat>
          <c:val>
            <c:numRef>
              <c:f>english!$A$2:$A$32</c:f>
              <c:numCache>
                <c:formatCode>General</c:formatCode>
                <c:ptCount val="31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38-414B-8E7D-B493F608E42E}"/>
            </c:ext>
          </c:extLst>
        </c:ser>
        <c:ser>
          <c:idx val="1"/>
          <c:order val="1"/>
          <c:tx>
            <c:strRef>
              <c:f>english!$D$1</c:f>
              <c:strCache>
                <c:ptCount val="1"/>
                <c:pt idx="0">
                  <c:v>Total Production ('000 dozens)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english!$A$2:$A$28</c:f>
              <c:numCache>
                <c:formatCode>General</c:formatCode>
                <c:ptCount val="27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</c:numCache>
            </c:numRef>
          </c:cat>
          <c:val>
            <c:numRef>
              <c:f>english!$D$2:$D$32</c:f>
              <c:numCache>
                <c:formatCode>#,##0</c:formatCode>
                <c:ptCount val="31"/>
                <c:pt idx="0">
                  <c:v>195042</c:v>
                </c:pt>
                <c:pt idx="1">
                  <c:v>204424</c:v>
                </c:pt>
                <c:pt idx="2">
                  <c:v>207361</c:v>
                </c:pt>
                <c:pt idx="3">
                  <c:v>212876</c:v>
                </c:pt>
                <c:pt idx="4">
                  <c:v>216585</c:v>
                </c:pt>
                <c:pt idx="5">
                  <c:v>216957</c:v>
                </c:pt>
                <c:pt idx="6">
                  <c:v>218577</c:v>
                </c:pt>
                <c:pt idx="7">
                  <c:v>228889</c:v>
                </c:pt>
                <c:pt idx="8">
                  <c:v>226590</c:v>
                </c:pt>
                <c:pt idx="9">
                  <c:v>227392</c:v>
                </c:pt>
                <c:pt idx="10">
                  <c:v>233886</c:v>
                </c:pt>
                <c:pt idx="11">
                  <c:v>234463</c:v>
                </c:pt>
                <c:pt idx="12">
                  <c:v>239283</c:v>
                </c:pt>
                <c:pt idx="13">
                  <c:v>242059</c:v>
                </c:pt>
                <c:pt idx="14">
                  <c:v>246973</c:v>
                </c:pt>
                <c:pt idx="15">
                  <c:v>251693</c:v>
                </c:pt>
                <c:pt idx="16">
                  <c:v>254787</c:v>
                </c:pt>
                <c:pt idx="17">
                  <c:v>264634</c:v>
                </c:pt>
                <c:pt idx="18">
                  <c:v>280920</c:v>
                </c:pt>
                <c:pt idx="19">
                  <c:v>290529</c:v>
                </c:pt>
                <c:pt idx="20">
                  <c:v>295412</c:v>
                </c:pt>
                <c:pt idx="21">
                  <c:v>302724</c:v>
                </c:pt>
                <c:pt idx="22">
                  <c:v>310284</c:v>
                </c:pt>
                <c:pt idx="23">
                  <c:v>316431</c:v>
                </c:pt>
                <c:pt idx="24">
                  <c:v>325890</c:v>
                </c:pt>
                <c:pt idx="25">
                  <c:v>332889</c:v>
                </c:pt>
                <c:pt idx="26">
                  <c:v>338724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38-414B-8E7D-B493F608E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972127"/>
        <c:axId val="921249311"/>
      </c:lineChart>
      <c:catAx>
        <c:axId val="920972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249311"/>
        <c:crosses val="autoZero"/>
        <c:auto val="1"/>
        <c:lblAlgn val="ctr"/>
        <c:lblOffset val="100"/>
        <c:noMultiLvlLbl val="0"/>
      </c:catAx>
      <c:valAx>
        <c:axId val="92124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1" i="0" u="none" strike="noStrike" baseline="0"/>
                  <a:t>Total Production ('000 dozens)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97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 prst="angle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357910</xdr:colOff>
      <xdr:row>1</xdr:row>
      <xdr:rowOff>103909</xdr:rowOff>
    </xdr:from>
    <xdr:to>
      <xdr:col>13</xdr:col>
      <xdr:colOff>23093</xdr:colOff>
      <xdr:row>19</xdr:row>
      <xdr:rowOff>150090</xdr:rowOff>
    </xdr:to>
    <xdr:graphicFrame macro="">
      <xdr:nvGraphicFramePr>
        <xdr:cNvPr id="4" name="Chart 3" descr="Line chart showing Average Number of Layers ('000) on the left Y-axis and Eggs per 100 Layers on the right Y-axis for Ontario from 1998 to 2024. Average number of layers gradually increases while eggs per 100 layers trend upwards, showing improving efficiency over time.”">
          <a:extLst>
            <a:ext uri="{FF2B5EF4-FFF2-40B4-BE49-F238E27FC236}">
              <a16:creationId xmlns:a16="http://schemas.microsoft.com/office/drawing/2014/main" id="{DA979395-7A79-97AC-DC28-E67893A9608B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369455</xdr:colOff>
      <xdr:row>20</xdr:row>
      <xdr:rowOff>23090</xdr:rowOff>
    </xdr:from>
    <xdr:to>
      <xdr:col>13</xdr:col>
      <xdr:colOff>11548</xdr:colOff>
      <xdr:row>39</xdr:row>
      <xdr:rowOff>57726</xdr:rowOff>
    </xdr:to>
    <xdr:graphicFrame macro="">
      <xdr:nvGraphicFramePr>
        <xdr:cNvPr id="6" name="Chart 5" descr="“Line chart showing Total Egg Production in Ontario from 1998 to 2024 in thousands of dozens. Production increases steadily over time with minor dips in certain years.”">
          <a:extLst>
            <a:ext uri="{FF2B5EF4-FFF2-40B4-BE49-F238E27FC236}">
              <a16:creationId xmlns:a16="http://schemas.microsoft.com/office/drawing/2014/main" id="{F12E6267-4766-7FEE-4835-6DA580612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9"/>
  <sheetViews>
    <sheetView tabSelected="1" zoomScale="110" zoomScaleNormal="110" workbookViewId="0">
      <pane xSplit="1" ySplit="1" topLeftCell="C2" activePane="bottomRight" state="frozen"/>
      <selection pane="topRight" activeCell="B1" sqref="B1"/>
      <selection pane="bottomLeft" activeCell="A3" sqref="A3"/>
      <selection pane="bottomRight" activeCell="P17" sqref="P17"/>
    </sheetView>
  </sheetViews>
  <sheetFormatPr baseColWidth="10" defaultColWidth="9.1640625" defaultRowHeight="14" x14ac:dyDescent="0.15"/>
  <cols>
    <col min="1" max="1" width="10.83203125" style="1" bestFit="1" customWidth="1"/>
    <col min="2" max="2" width="35.5" style="1" bestFit="1" customWidth="1"/>
    <col min="3" max="3" width="32.83203125" style="1" bestFit="1" customWidth="1"/>
    <col min="4" max="4" width="31.5" style="1" bestFit="1" customWidth="1"/>
    <col min="5" max="5" width="20.1640625" style="1" bestFit="1" customWidth="1"/>
    <col min="6" max="8" width="9.1640625" style="1"/>
    <col min="9" max="9" width="11.1640625" style="1" bestFit="1" customWidth="1"/>
    <col min="10" max="10" width="11.5" style="1" bestFit="1" customWidth="1"/>
    <col min="11" max="12" width="12.6640625" style="1" bestFit="1" customWidth="1"/>
    <col min="13" max="16384" width="9.1640625" style="1"/>
  </cols>
  <sheetData>
    <row r="1" spans="1:12" x14ac:dyDescent="0.15">
      <c r="A1" s="9" t="s">
        <v>9</v>
      </c>
      <c r="B1" s="2" t="s">
        <v>0</v>
      </c>
      <c r="C1" s="2" t="s">
        <v>10</v>
      </c>
      <c r="D1" s="5" t="s">
        <v>6</v>
      </c>
      <c r="E1" s="2" t="s">
        <v>1</v>
      </c>
    </row>
    <row r="2" spans="1:12" x14ac:dyDescent="0.15">
      <c r="A2" s="2">
        <v>1998</v>
      </c>
      <c r="B2" s="3">
        <v>8254</v>
      </c>
      <c r="C2" s="3">
        <v>28356</v>
      </c>
      <c r="D2" s="3">
        <v>195042</v>
      </c>
      <c r="E2" s="3">
        <v>227933</v>
      </c>
    </row>
    <row r="3" spans="1:12" x14ac:dyDescent="0.15">
      <c r="A3" s="2">
        <v>1999</v>
      </c>
      <c r="B3" s="3">
        <v>8806</v>
      </c>
      <c r="C3" s="3">
        <v>27857</v>
      </c>
      <c r="D3" s="3">
        <v>204424</v>
      </c>
      <c r="E3" s="3">
        <v>238674</v>
      </c>
    </row>
    <row r="4" spans="1:12" x14ac:dyDescent="0.15">
      <c r="A4" s="2">
        <v>2000</v>
      </c>
      <c r="B4" s="3">
        <v>8897</v>
      </c>
      <c r="C4" s="3">
        <v>27968</v>
      </c>
      <c r="D4" s="3">
        <v>207361</v>
      </c>
      <c r="E4" s="3">
        <v>251165</v>
      </c>
      <c r="H4"/>
      <c r="I4"/>
      <c r="J4"/>
      <c r="K4"/>
      <c r="L4"/>
    </row>
    <row r="5" spans="1:12" x14ac:dyDescent="0.15">
      <c r="A5" s="2">
        <v>2001</v>
      </c>
      <c r="B5" s="3">
        <v>9096</v>
      </c>
      <c r="C5" s="3">
        <v>28084</v>
      </c>
      <c r="D5" s="3">
        <v>212876</v>
      </c>
      <c r="E5" s="3">
        <v>265480</v>
      </c>
      <c r="H5"/>
      <c r="I5" s="7"/>
      <c r="J5" s="7"/>
      <c r="K5" s="7"/>
      <c r="L5" s="7"/>
    </row>
    <row r="6" spans="1:12" x14ac:dyDescent="0.15">
      <c r="A6" s="2">
        <v>2002</v>
      </c>
      <c r="B6" s="3">
        <v>9418</v>
      </c>
      <c r="C6" s="3">
        <v>27596</v>
      </c>
      <c r="D6" s="3">
        <v>216585</v>
      </c>
      <c r="E6" s="3">
        <v>268544</v>
      </c>
      <c r="H6"/>
      <c r="I6" s="7"/>
      <c r="J6" s="7"/>
      <c r="K6" s="7"/>
      <c r="L6" s="7"/>
    </row>
    <row r="7" spans="1:12" x14ac:dyDescent="0.15">
      <c r="A7" s="2">
        <v>2003</v>
      </c>
      <c r="B7" s="3">
        <v>9475</v>
      </c>
      <c r="C7" s="3">
        <v>27477</v>
      </c>
      <c r="D7" s="3">
        <v>216957</v>
      </c>
      <c r="E7" s="3">
        <v>267939</v>
      </c>
      <c r="H7"/>
      <c r="I7" s="7"/>
      <c r="J7" s="7"/>
      <c r="K7" s="7"/>
      <c r="L7" s="7"/>
    </row>
    <row r="8" spans="1:12" x14ac:dyDescent="0.15">
      <c r="A8" s="2">
        <v>2004</v>
      </c>
      <c r="B8" s="3">
        <v>9619</v>
      </c>
      <c r="C8" s="3">
        <v>27268</v>
      </c>
      <c r="D8" s="3">
        <v>218577</v>
      </c>
      <c r="E8" s="3">
        <v>287404</v>
      </c>
      <c r="H8"/>
      <c r="I8" s="7"/>
      <c r="J8" s="7"/>
      <c r="K8" s="7"/>
      <c r="L8" s="7"/>
    </row>
    <row r="9" spans="1:12" x14ac:dyDescent="0.15">
      <c r="A9" s="2">
        <v>2005</v>
      </c>
      <c r="B9" s="3">
        <v>9754</v>
      </c>
      <c r="C9" s="3">
        <v>28159</v>
      </c>
      <c r="D9" s="3">
        <v>228889</v>
      </c>
      <c r="E9" s="3">
        <v>264896</v>
      </c>
      <c r="H9"/>
      <c r="I9" s="7"/>
      <c r="J9" s="7"/>
      <c r="K9" s="7"/>
      <c r="L9" s="7"/>
    </row>
    <row r="10" spans="1:12" x14ac:dyDescent="0.15">
      <c r="A10" s="2">
        <v>2006</v>
      </c>
      <c r="B10" s="3">
        <v>9492</v>
      </c>
      <c r="C10" s="3">
        <v>28646</v>
      </c>
      <c r="D10" s="3">
        <v>226590</v>
      </c>
      <c r="E10" s="3">
        <v>273582</v>
      </c>
    </row>
    <row r="11" spans="1:12" x14ac:dyDescent="0.15">
      <c r="A11" s="2">
        <v>2007</v>
      </c>
      <c r="B11" s="3">
        <v>9415</v>
      </c>
      <c r="C11" s="3">
        <v>28983</v>
      </c>
      <c r="D11" s="3">
        <v>227392</v>
      </c>
      <c r="E11" s="3">
        <v>290095</v>
      </c>
    </row>
    <row r="12" spans="1:12" x14ac:dyDescent="0.15">
      <c r="A12" s="2">
        <v>2008</v>
      </c>
      <c r="B12" s="3">
        <v>9519</v>
      </c>
      <c r="C12" s="3">
        <v>29485</v>
      </c>
      <c r="D12" s="3">
        <v>233886</v>
      </c>
      <c r="E12" s="3">
        <v>317945</v>
      </c>
    </row>
    <row r="13" spans="1:12" x14ac:dyDescent="0.15">
      <c r="A13" s="2">
        <v>2009</v>
      </c>
      <c r="B13" s="3">
        <v>9715</v>
      </c>
      <c r="C13" s="3">
        <v>28961</v>
      </c>
      <c r="D13" s="3">
        <v>234463</v>
      </c>
      <c r="E13" s="3">
        <v>338326</v>
      </c>
    </row>
    <row r="14" spans="1:12" x14ac:dyDescent="0.15">
      <c r="A14" s="2">
        <v>2010</v>
      </c>
      <c r="B14" s="3">
        <v>9793</v>
      </c>
      <c r="C14" s="3">
        <v>29321</v>
      </c>
      <c r="D14" s="3">
        <v>239283</v>
      </c>
      <c r="E14" s="3">
        <v>337386</v>
      </c>
    </row>
    <row r="15" spans="1:12" x14ac:dyDescent="0.15">
      <c r="A15" s="2">
        <v>2011</v>
      </c>
      <c r="B15" s="3">
        <v>9824</v>
      </c>
      <c r="C15" s="3">
        <v>29567</v>
      </c>
      <c r="D15" s="3">
        <v>242059</v>
      </c>
      <c r="E15" s="3">
        <v>370731</v>
      </c>
    </row>
    <row r="16" spans="1:12" x14ac:dyDescent="0.15">
      <c r="A16" s="2">
        <v>2012</v>
      </c>
      <c r="B16" s="3">
        <v>9886</v>
      </c>
      <c r="C16" s="3">
        <v>29979</v>
      </c>
      <c r="D16" s="3">
        <v>246973</v>
      </c>
      <c r="E16" s="3">
        <v>401201</v>
      </c>
    </row>
    <row r="17" spans="1:5" x14ac:dyDescent="0.15">
      <c r="A17" s="2">
        <v>2013</v>
      </c>
      <c r="B17" s="3">
        <v>10040</v>
      </c>
      <c r="C17" s="3">
        <v>30083</v>
      </c>
      <c r="D17" s="3">
        <v>251693</v>
      </c>
      <c r="E17" s="3">
        <v>424121</v>
      </c>
    </row>
    <row r="18" spans="1:5" x14ac:dyDescent="0.15">
      <c r="A18" s="2">
        <v>2014</v>
      </c>
      <c r="B18" s="3">
        <v>10118</v>
      </c>
      <c r="C18" s="3">
        <v>30218</v>
      </c>
      <c r="D18" s="3">
        <v>254787</v>
      </c>
      <c r="E18" s="3">
        <v>419153</v>
      </c>
    </row>
    <row r="19" spans="1:5" x14ac:dyDescent="0.15">
      <c r="A19" s="2">
        <v>2015</v>
      </c>
      <c r="B19" s="3">
        <v>10487</v>
      </c>
      <c r="C19" s="3">
        <v>30281</v>
      </c>
      <c r="D19" s="8">
        <v>264634</v>
      </c>
      <c r="E19" s="3">
        <v>445801</v>
      </c>
    </row>
    <row r="20" spans="1:5" x14ac:dyDescent="0.15">
      <c r="A20" s="2">
        <v>2016</v>
      </c>
      <c r="B20" s="3">
        <v>11109</v>
      </c>
      <c r="C20" s="3">
        <v>30345</v>
      </c>
      <c r="D20" s="3">
        <v>280920</v>
      </c>
      <c r="E20" s="3">
        <v>473324</v>
      </c>
    </row>
    <row r="21" spans="1:5" x14ac:dyDescent="0.15">
      <c r="A21" s="2">
        <v>2017</v>
      </c>
      <c r="B21" s="3">
        <v>11534</v>
      </c>
      <c r="C21" s="3">
        <v>30227</v>
      </c>
      <c r="D21" s="3">
        <v>290529</v>
      </c>
      <c r="E21" s="3">
        <v>491060</v>
      </c>
    </row>
    <row r="22" spans="1:5" x14ac:dyDescent="0.15">
      <c r="A22" s="2">
        <v>2018</v>
      </c>
      <c r="B22" s="3">
        <v>11715</v>
      </c>
      <c r="C22" s="3">
        <v>30260</v>
      </c>
      <c r="D22" s="3">
        <v>295412</v>
      </c>
      <c r="E22" s="3">
        <v>513655</v>
      </c>
    </row>
    <row r="23" spans="1:5" x14ac:dyDescent="0.15">
      <c r="A23" s="2">
        <v>2019</v>
      </c>
      <c r="B23" s="3">
        <v>11999</v>
      </c>
      <c r="C23" s="3">
        <v>30275</v>
      </c>
      <c r="D23" s="3">
        <v>302724</v>
      </c>
      <c r="E23" s="3">
        <v>536208</v>
      </c>
    </row>
    <row r="24" spans="1:5" x14ac:dyDescent="0.15">
      <c r="A24" s="2">
        <v>2020</v>
      </c>
      <c r="B24" s="3">
        <v>12261</v>
      </c>
      <c r="C24" s="3">
        <v>30368</v>
      </c>
      <c r="D24" s="3">
        <v>310284</v>
      </c>
      <c r="E24" s="3">
        <v>559548</v>
      </c>
    </row>
    <row r="25" spans="1:5" x14ac:dyDescent="0.15">
      <c r="A25" s="2">
        <v>2021</v>
      </c>
      <c r="B25" s="3">
        <v>12531</v>
      </c>
      <c r="C25" s="3">
        <v>30302</v>
      </c>
      <c r="D25" s="3">
        <v>316431</v>
      </c>
      <c r="E25" s="3">
        <v>633828</v>
      </c>
    </row>
    <row r="26" spans="1:5" x14ac:dyDescent="0.15">
      <c r="A26" s="2">
        <v>2022</v>
      </c>
      <c r="B26" s="3">
        <v>12956</v>
      </c>
      <c r="C26" s="3">
        <v>30184</v>
      </c>
      <c r="D26" s="3">
        <v>325890</v>
      </c>
      <c r="E26" s="3">
        <v>732433</v>
      </c>
    </row>
    <row r="27" spans="1:5" x14ac:dyDescent="0.15">
      <c r="A27" s="2">
        <v>2023</v>
      </c>
      <c r="B27" s="3">
        <v>13177</v>
      </c>
      <c r="C27" s="3">
        <v>30332</v>
      </c>
      <c r="D27" s="3">
        <v>332889</v>
      </c>
      <c r="E27" s="3">
        <v>791147</v>
      </c>
    </row>
    <row r="28" spans="1:5" x14ac:dyDescent="0.15">
      <c r="A28" s="2">
        <v>2024</v>
      </c>
      <c r="B28" s="3">
        <v>13449</v>
      </c>
      <c r="C28" s="3">
        <v>30223</v>
      </c>
      <c r="D28" s="3">
        <v>338724</v>
      </c>
      <c r="E28" s="3">
        <v>800393</v>
      </c>
    </row>
    <row r="29" spans="1:5" x14ac:dyDescent="0.15">
      <c r="A29" s="6"/>
    </row>
  </sheetData>
  <phoneticPr fontId="4" type="noConversion"/>
  <pageMargins left="0.75" right="0.75" top="1" bottom="1" header="0.5" footer="0.5"/>
  <pageSetup scale="68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9.1640625" defaultRowHeight="14" x14ac:dyDescent="0.15"/>
  <cols>
    <col min="1" max="1" width="14.6640625" style="1" customWidth="1"/>
    <col min="2" max="2" width="39.5" style="1" bestFit="1" customWidth="1"/>
    <col min="3" max="3" width="38.5" style="1" bestFit="1" customWidth="1"/>
    <col min="4" max="4" width="31" style="1" bestFit="1" customWidth="1"/>
    <col min="5" max="5" width="21.83203125" style="1" bestFit="1" customWidth="1"/>
    <col min="6" max="16384" width="9.1640625" style="1"/>
  </cols>
  <sheetData>
    <row r="1" spans="1:12" x14ac:dyDescent="0.15">
      <c r="A1" s="9" t="s">
        <v>8</v>
      </c>
      <c r="D1" s="9"/>
    </row>
    <row r="2" spans="1:12" x14ac:dyDescent="0.15">
      <c r="B2" s="2" t="s">
        <v>2</v>
      </c>
      <c r="C2" s="2" t="s">
        <v>3</v>
      </c>
      <c r="D2" s="2" t="s">
        <v>4</v>
      </c>
      <c r="E2" s="2" t="s">
        <v>5</v>
      </c>
    </row>
    <row r="3" spans="1:12" x14ac:dyDescent="0.15">
      <c r="A3" s="2">
        <v>1998</v>
      </c>
      <c r="B3" s="3">
        <f>+english!B2</f>
        <v>8254</v>
      </c>
      <c r="C3" s="3">
        <f>+english!C2</f>
        <v>28356</v>
      </c>
      <c r="D3" s="3">
        <f>+english!D2</f>
        <v>195042</v>
      </c>
      <c r="E3" s="3">
        <f>+english!E2</f>
        <v>227933</v>
      </c>
    </row>
    <row r="4" spans="1:12" x14ac:dyDescent="0.15">
      <c r="A4" s="2">
        <v>1999</v>
      </c>
      <c r="B4" s="3">
        <f>+english!B3</f>
        <v>8806</v>
      </c>
      <c r="C4" s="3">
        <f>+english!C3</f>
        <v>27857</v>
      </c>
      <c r="D4" s="3">
        <f>+english!D3</f>
        <v>204424</v>
      </c>
      <c r="E4" s="3">
        <f>+english!E3</f>
        <v>238674</v>
      </c>
    </row>
    <row r="5" spans="1:12" x14ac:dyDescent="0.15">
      <c r="A5" s="2">
        <v>2000</v>
      </c>
      <c r="B5" s="3">
        <f>+english!B4</f>
        <v>8897</v>
      </c>
      <c r="C5" s="3">
        <f>+english!C4</f>
        <v>27968</v>
      </c>
      <c r="D5" s="3">
        <f>+english!D4</f>
        <v>207361</v>
      </c>
      <c r="E5" s="3">
        <f>+english!E4</f>
        <v>251165</v>
      </c>
      <c r="H5"/>
      <c r="I5"/>
      <c r="J5"/>
      <c r="K5"/>
      <c r="L5"/>
    </row>
    <row r="6" spans="1:12" x14ac:dyDescent="0.15">
      <c r="A6" s="2">
        <v>2001</v>
      </c>
      <c r="B6" s="3">
        <f>+english!B5</f>
        <v>9096</v>
      </c>
      <c r="C6" s="3">
        <f>+english!C5</f>
        <v>28084</v>
      </c>
      <c r="D6" s="3">
        <f>+english!D5</f>
        <v>212876</v>
      </c>
      <c r="E6" s="3">
        <f>+english!E5</f>
        <v>265480</v>
      </c>
      <c r="H6"/>
      <c r="I6" s="7"/>
      <c r="J6" s="7"/>
      <c r="K6" s="7"/>
      <c r="L6" s="7"/>
    </row>
    <row r="7" spans="1:12" x14ac:dyDescent="0.15">
      <c r="A7" s="2">
        <v>2002</v>
      </c>
      <c r="B7" s="3">
        <f>+english!B6</f>
        <v>9418</v>
      </c>
      <c r="C7" s="3">
        <f>+english!C6</f>
        <v>27596</v>
      </c>
      <c r="D7" s="3">
        <f>+english!D6</f>
        <v>216585</v>
      </c>
      <c r="E7" s="3">
        <f>+english!E6</f>
        <v>268544</v>
      </c>
      <c r="H7"/>
      <c r="I7" s="7"/>
      <c r="J7" s="7"/>
      <c r="K7" s="7"/>
      <c r="L7" s="7"/>
    </row>
    <row r="8" spans="1:12" x14ac:dyDescent="0.15">
      <c r="A8" s="2">
        <v>2003</v>
      </c>
      <c r="B8" s="3">
        <f>+english!B7</f>
        <v>9475</v>
      </c>
      <c r="C8" s="3">
        <f>+english!C7</f>
        <v>27477</v>
      </c>
      <c r="D8" s="3">
        <f>+english!D7</f>
        <v>216957</v>
      </c>
      <c r="E8" s="3">
        <f>+english!E7</f>
        <v>267939</v>
      </c>
      <c r="H8"/>
      <c r="I8" s="7"/>
      <c r="J8" s="7"/>
      <c r="K8" s="7"/>
      <c r="L8" s="7"/>
    </row>
    <row r="9" spans="1:12" x14ac:dyDescent="0.15">
      <c r="A9" s="2">
        <v>2004</v>
      </c>
      <c r="B9" s="3">
        <f>+english!B8</f>
        <v>9619</v>
      </c>
      <c r="C9" s="3">
        <f>+english!C8</f>
        <v>27268</v>
      </c>
      <c r="D9" s="3">
        <f>+english!D8</f>
        <v>218577</v>
      </c>
      <c r="E9" s="3">
        <f>+english!E8</f>
        <v>287404</v>
      </c>
      <c r="H9"/>
      <c r="I9" s="7"/>
      <c r="J9" s="7"/>
      <c r="K9" s="7"/>
      <c r="L9" s="7"/>
    </row>
    <row r="10" spans="1:12" x14ac:dyDescent="0.15">
      <c r="A10" s="2">
        <v>2005</v>
      </c>
      <c r="B10" s="3">
        <f>+english!B9</f>
        <v>9754</v>
      </c>
      <c r="C10" s="3">
        <f>+english!C9</f>
        <v>28159</v>
      </c>
      <c r="D10" s="3">
        <f>+english!D9</f>
        <v>228889</v>
      </c>
      <c r="E10" s="3">
        <f>+english!E9</f>
        <v>264896</v>
      </c>
      <c r="H10"/>
      <c r="I10" s="7"/>
      <c r="J10" s="7"/>
      <c r="K10" s="7"/>
      <c r="L10" s="7"/>
    </row>
    <row r="11" spans="1:12" x14ac:dyDescent="0.15">
      <c r="A11" s="2">
        <v>2006</v>
      </c>
      <c r="B11" s="3">
        <f>+english!B10</f>
        <v>9492</v>
      </c>
      <c r="C11" s="3">
        <f>+english!C10</f>
        <v>28646</v>
      </c>
      <c r="D11" s="3">
        <f>+english!D10</f>
        <v>226590</v>
      </c>
      <c r="E11" s="3">
        <f>+english!E10</f>
        <v>273582</v>
      </c>
    </row>
    <row r="12" spans="1:12" x14ac:dyDescent="0.15">
      <c r="A12" s="2">
        <v>2007</v>
      </c>
      <c r="B12" s="3">
        <f>+english!B11</f>
        <v>9415</v>
      </c>
      <c r="C12" s="3">
        <f>+english!C11</f>
        <v>28983</v>
      </c>
      <c r="D12" s="3">
        <f>+english!D11</f>
        <v>227392</v>
      </c>
      <c r="E12" s="3">
        <f>+english!E11</f>
        <v>290095</v>
      </c>
    </row>
    <row r="13" spans="1:12" x14ac:dyDescent="0.15">
      <c r="A13" s="2">
        <v>2008</v>
      </c>
      <c r="B13" s="3">
        <f>+english!B12</f>
        <v>9519</v>
      </c>
      <c r="C13" s="3">
        <f>+english!C12</f>
        <v>29485</v>
      </c>
      <c r="D13" s="3">
        <f>+english!D12</f>
        <v>233886</v>
      </c>
      <c r="E13" s="3">
        <f>+english!E12</f>
        <v>317945</v>
      </c>
    </row>
    <row r="14" spans="1:12" x14ac:dyDescent="0.15">
      <c r="A14" s="2">
        <v>2009</v>
      </c>
      <c r="B14" s="3">
        <f>+english!B13</f>
        <v>9715</v>
      </c>
      <c r="C14" s="3">
        <f>+english!C13</f>
        <v>28961</v>
      </c>
      <c r="D14" s="3">
        <f>+english!D13</f>
        <v>234463</v>
      </c>
      <c r="E14" s="3">
        <f>+english!E13</f>
        <v>338326</v>
      </c>
    </row>
    <row r="15" spans="1:12" x14ac:dyDescent="0.15">
      <c r="A15" s="2">
        <v>2010</v>
      </c>
      <c r="B15" s="3">
        <f>+english!B14</f>
        <v>9793</v>
      </c>
      <c r="C15" s="3">
        <f>+english!C14</f>
        <v>29321</v>
      </c>
      <c r="D15" s="3">
        <f>+english!D14</f>
        <v>239283</v>
      </c>
      <c r="E15" s="3">
        <f>+english!E14</f>
        <v>337386</v>
      </c>
    </row>
    <row r="16" spans="1:12" x14ac:dyDescent="0.15">
      <c r="A16" s="2">
        <v>2011</v>
      </c>
      <c r="B16" s="3">
        <f>+english!B15</f>
        <v>9824</v>
      </c>
      <c r="C16" s="3">
        <f>+english!C15</f>
        <v>29567</v>
      </c>
      <c r="D16" s="3">
        <f>+english!D15</f>
        <v>242059</v>
      </c>
      <c r="E16" s="3">
        <f>+english!E15</f>
        <v>370731</v>
      </c>
    </row>
    <row r="17" spans="1:5" x14ac:dyDescent="0.15">
      <c r="A17" s="2">
        <v>2012</v>
      </c>
      <c r="B17" s="3">
        <f>+english!B16</f>
        <v>9886</v>
      </c>
      <c r="C17" s="3">
        <f>+english!C16</f>
        <v>29979</v>
      </c>
      <c r="D17" s="3">
        <f>+english!D16</f>
        <v>246973</v>
      </c>
      <c r="E17" s="3">
        <f>+english!E16</f>
        <v>401201</v>
      </c>
    </row>
    <row r="18" spans="1:5" x14ac:dyDescent="0.15">
      <c r="A18" s="2">
        <v>2013</v>
      </c>
      <c r="B18" s="3">
        <f>+english!B17</f>
        <v>10040</v>
      </c>
      <c r="C18" s="3">
        <f>+english!C17</f>
        <v>30083</v>
      </c>
      <c r="D18" s="3">
        <f>+english!D17</f>
        <v>251693</v>
      </c>
      <c r="E18" s="3">
        <f>+english!E17</f>
        <v>424121</v>
      </c>
    </row>
    <row r="19" spans="1:5" x14ac:dyDescent="0.15">
      <c r="A19" s="2">
        <v>2014</v>
      </c>
      <c r="B19" s="3">
        <f>+english!B18</f>
        <v>10118</v>
      </c>
      <c r="C19" s="3">
        <f>+english!C18</f>
        <v>30218</v>
      </c>
      <c r="D19" s="3">
        <f>+english!D18</f>
        <v>254787</v>
      </c>
      <c r="E19" s="3">
        <f>+english!E18</f>
        <v>419153</v>
      </c>
    </row>
    <row r="20" spans="1:5" x14ac:dyDescent="0.15">
      <c r="A20" s="2">
        <v>2015</v>
      </c>
      <c r="B20" s="3">
        <f>+english!B19</f>
        <v>10487</v>
      </c>
      <c r="C20" s="3">
        <f>+english!C19</f>
        <v>30281</v>
      </c>
      <c r="D20" s="3">
        <f>+english!D19</f>
        <v>264634</v>
      </c>
      <c r="E20" s="3">
        <f>+english!E19</f>
        <v>445801</v>
      </c>
    </row>
    <row r="21" spans="1:5" x14ac:dyDescent="0.15">
      <c r="A21" s="2">
        <v>2016</v>
      </c>
      <c r="B21" s="3">
        <f>+english!B20</f>
        <v>11109</v>
      </c>
      <c r="C21" s="3">
        <f>+english!C20</f>
        <v>30345</v>
      </c>
      <c r="D21" s="3">
        <f>+english!D20</f>
        <v>280920</v>
      </c>
      <c r="E21" s="3">
        <f>+english!E20</f>
        <v>473324</v>
      </c>
    </row>
    <row r="22" spans="1:5" x14ac:dyDescent="0.15">
      <c r="A22" s="2">
        <v>2017</v>
      </c>
      <c r="B22" s="3">
        <f>+english!B21</f>
        <v>11534</v>
      </c>
      <c r="C22" s="3">
        <f>+english!C21</f>
        <v>30227</v>
      </c>
      <c r="D22" s="3">
        <f>+english!D21</f>
        <v>290529</v>
      </c>
      <c r="E22" s="3">
        <f>+english!E21</f>
        <v>491060</v>
      </c>
    </row>
    <row r="23" spans="1:5" x14ac:dyDescent="0.15">
      <c r="A23" s="2">
        <v>2018</v>
      </c>
      <c r="B23" s="3">
        <f>+english!B22</f>
        <v>11715</v>
      </c>
      <c r="C23" s="3">
        <f>+english!C22</f>
        <v>30260</v>
      </c>
      <c r="D23" s="3">
        <f>+english!D22</f>
        <v>295412</v>
      </c>
      <c r="E23" s="3">
        <f>+english!E22</f>
        <v>513655</v>
      </c>
    </row>
    <row r="24" spans="1:5" x14ac:dyDescent="0.15">
      <c r="A24" s="2">
        <v>2019</v>
      </c>
      <c r="B24" s="3">
        <f>+english!B23</f>
        <v>11999</v>
      </c>
      <c r="C24" s="3">
        <f>+english!C23</f>
        <v>30275</v>
      </c>
      <c r="D24" s="3">
        <f>+english!D23</f>
        <v>302724</v>
      </c>
      <c r="E24" s="3">
        <f>+english!E23</f>
        <v>536208</v>
      </c>
    </row>
    <row r="25" spans="1:5" x14ac:dyDescent="0.15">
      <c r="A25" s="2">
        <v>2020</v>
      </c>
      <c r="B25" s="3">
        <f>+english!B24</f>
        <v>12261</v>
      </c>
      <c r="C25" s="3">
        <f>+english!C24</f>
        <v>30368</v>
      </c>
      <c r="D25" s="3">
        <f>+english!D24</f>
        <v>310284</v>
      </c>
      <c r="E25" s="3">
        <f>+english!E24</f>
        <v>559548</v>
      </c>
    </row>
    <row r="26" spans="1:5" x14ac:dyDescent="0.15">
      <c r="A26" s="2">
        <v>2021</v>
      </c>
      <c r="B26" s="3">
        <f>+english!B25</f>
        <v>12531</v>
      </c>
      <c r="C26" s="3">
        <f>+english!C25</f>
        <v>30302</v>
      </c>
      <c r="D26" s="3">
        <f>+english!D25</f>
        <v>316431</v>
      </c>
      <c r="E26" s="3">
        <f>+english!E25</f>
        <v>633828</v>
      </c>
    </row>
    <row r="27" spans="1:5" x14ac:dyDescent="0.15">
      <c r="A27" s="2">
        <v>2022</v>
      </c>
      <c r="B27" s="3">
        <f>+english!B26</f>
        <v>12956</v>
      </c>
      <c r="C27" s="3">
        <f>+english!C26</f>
        <v>30184</v>
      </c>
      <c r="D27" s="3">
        <f>+english!D26</f>
        <v>325890</v>
      </c>
      <c r="E27" s="3">
        <f>+english!E26</f>
        <v>732433</v>
      </c>
    </row>
    <row r="28" spans="1:5" x14ac:dyDescent="0.15">
      <c r="A28" s="2">
        <v>2023</v>
      </c>
      <c r="B28" s="3">
        <f>+english!B27</f>
        <v>13177</v>
      </c>
      <c r="C28" s="3">
        <f>+english!C27</f>
        <v>30332</v>
      </c>
      <c r="D28" s="3">
        <f>+english!D27</f>
        <v>332889</v>
      </c>
      <c r="E28" s="3">
        <f>+english!E27</f>
        <v>791147</v>
      </c>
    </row>
    <row r="29" spans="1:5" x14ac:dyDescent="0.15">
      <c r="A29" s="2">
        <v>2024</v>
      </c>
      <c r="B29" s="3">
        <f>+english!B28</f>
        <v>13449</v>
      </c>
      <c r="C29" s="3">
        <f>+english!C28</f>
        <v>30223</v>
      </c>
      <c r="D29" s="3">
        <f>+english!D28</f>
        <v>338724</v>
      </c>
      <c r="E29" s="3">
        <f>+english!E28</f>
        <v>800393</v>
      </c>
    </row>
    <row r="30" spans="1:5" x14ac:dyDescent="0.15">
      <c r="A30" s="4" t="s">
        <v>7</v>
      </c>
    </row>
    <row r="31" spans="1:5" x14ac:dyDescent="0.15">
      <c r="A31" s="10" t="e">
        <f>+english!#REF!</f>
        <v>#REF!</v>
      </c>
    </row>
    <row r="32" spans="1:5" x14ac:dyDescent="0.15">
      <c r="A32" s="6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french</vt:lpstr>
    </vt:vector>
  </TitlesOfParts>
  <Company>OMAFRA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Cumming</dc:creator>
  <cp:lastModifiedBy>Onyinyechukwu Ezeamuzie</cp:lastModifiedBy>
  <cp:lastPrinted>2016-07-29T13:59:24Z</cp:lastPrinted>
  <dcterms:created xsi:type="dcterms:W3CDTF">2001-09-27T17:41:32Z</dcterms:created>
  <dcterms:modified xsi:type="dcterms:W3CDTF">2026-02-05T23:27:55Z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2022-04-07T17:11:11Z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